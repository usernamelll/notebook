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<sst xmlns="http://schemas.openxmlformats.org/spreadsheetml/2006/main" count="13" uniqueCount="13">
  <si>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总任务</t>
  </si>
  <si>
    <t>目前</t>
  </si>
  <si>
    <t>剩余</t>
  </si>
  <si>
    <t>完成百分比</t>
  </si>
  <si>
    <t>总体进度</t>
  </si>
  <si>
    <t>数据结构</t>
  </si>
  <si>
    <t>计算机组成原理</t>
  </si>
  <si>
    <t>操作系统</t>
  </si>
  <si>
    <t>计算机网络</t>
  </si>
  <si>
    <t>政治</t>
  </si>
  <si>
    <t>阅读</t>
  </si>
  <si>
    <t>单词</t>
  </si>
  <si>
    <t>数学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</si>
</sst>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220" zoomScaleNormal="220" workbookViewId="0">
      <selection activeCell="F8" sqref="F8"/>
    </sheetView>
  </sheetViews>
  <sheetFormatPr defaultColWidth="8.88888888888889" defaultRowHeight="14.4" outlineLevelCol="6"/>
  <cols>
    <col min="1" max="1" width="18.2222222222222" customWidth="1"/>
    <col min="5" max="5" width="11.8888888888889" customWidth="1"/>
    <col min="7" max="7" width="12.8888888888889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G1" t="s">
        <v>4</v>
      </c>
    </row>
    <row r="2" spans="1:7">
      <c r="A2" t="s">
        <v>5</v>
      </c>
      <c r="B2" s="2">
        <v>104</v>
      </c>
      <c r="C2">
        <v>19</v>
      </c>
      <c r="D2">
        <f>B2-C2</f>
        <v>85</v>
      </c>
      <c r="E2" s="3">
        <f>(C2/B2)</f>
        <v>0.182692307692308</v>
      </c>
      <c r="G2" s="3">
        <f>(C2+C3+C4+C5+C6+C7+C8+C9)/(B2+B3+B4+B5+B6+B7+B8+B9)</f>
        <v>0.122657580919932</v>
      </c>
    </row>
    <row r="3" spans="1:7">
      <c r="A3" t="s">
        <v>6</v>
      </c>
      <c r="B3" s="2">
        <v>87</v>
      </c>
      <c r="C3">
        <v>9</v>
      </c>
      <c r="D3">
        <f t="shared" ref="D3:D8" si="0">B3-C3</f>
        <v>78</v>
      </c>
      <c r="E3" s="3">
        <f t="shared" ref="E3:E9" si="1">(C3/B3)</f>
        <v>0.103448275862069</v>
      </c>
    </row>
    <row r="4" spans="1:7">
      <c r="A4" t="s">
        <v>7</v>
      </c>
      <c r="B4" s="2">
        <v>86</v>
      </c>
      <c r="C4">
        <v>11</v>
      </c>
      <c r="D4">
        <f t="shared" si="0"/>
        <v>75</v>
      </c>
      <c r="E4" s="3">
        <f t="shared" si="1"/>
        <v>0.127906976744186</v>
      </c>
    </row>
    <row r="5" spans="1:7">
      <c r="A5" t="s">
        <v>8</v>
      </c>
      <c r="B5" s="2">
        <v>158</v>
      </c>
      <c r="C5">
        <v>9</v>
      </c>
      <c r="D5">
        <f t="shared" si="0"/>
        <v>149</v>
      </c>
      <c r="E5" s="3">
        <f t="shared" si="1"/>
        <v>0.0569620253164557</v>
      </c>
    </row>
    <row r="6" spans="1:7">
      <c r="A6" t="s">
        <v>9</v>
      </c>
      <c r="B6">
        <v>23</v>
      </c>
      <c r="C6">
        <v>10</v>
      </c>
      <c r="D6">
        <f t="shared" si="0"/>
        <v>13</v>
      </c>
      <c r="E6" s="3">
        <f t="shared" si="1"/>
        <v>0.434782608695652</v>
      </c>
    </row>
    <row r="7" spans="1:7">
      <c r="A7" t="s">
        <v>10</v>
      </c>
      <c r="B7">
        <v>58</v>
      </c>
      <c r="C7">
        <v>1</v>
      </c>
      <c r="D7">
        <f t="shared" si="0"/>
        <v>57</v>
      </c>
      <c r="E7" s="3">
        <f t="shared" si="1"/>
        <v>0.0172413793103448</v>
      </c>
    </row>
    <row r="8" spans="1:7">
      <c r="A8" t="s">
        <v>11</v>
      </c>
      <c r="B8">
        <v>40</v>
      </c>
      <c r="C8">
        <v>11</v>
      </c>
      <c r="D8">
        <f t="shared" si="0"/>
        <v>29</v>
      </c>
      <c r="E8" s="3">
        <f t="shared" si="1"/>
        <v>0.275</v>
      </c>
    </row>
    <row r="9" spans="1:7">
      <c r="A9" t="s">
        <v>12</v>
      </c>
      <c r="B9">
        <v>31</v>
      </c>
      <c r="C9">
        <v>2</v>
      </c>
      <c r="D9">
        <f>B9-C9</f>
        <v>29</v>
      </c>
      <c r="E9" s="3">
        <f t="shared" si="1"/>
        <v>0.0645161290322581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10519</dc:creator>
  <cp:lastModifiedBy>张钊搏</cp:lastModifiedBy>
  <dcterms:created xsi:type="dcterms:W3CDTF">2025-12-04T03:35:19Z</dcterms:created>
  <dcterms:modified xsi:type="dcterms:W3CDTF">2025-12-05T03:47:26Z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00414F8E66C844E29D937F001ED31A64_11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